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nel Model" sheetId="1" state="visible" r:id="rId1"/>
    <sheet name="Sensitivity 3x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₹&quot;#,##0"/>
    <numFmt numFmtId="166" formatCode="&quot;₹&quot;#,##0.0&quot;L&quot;"/>
  </numFmts>
  <fonts count="6">
    <font>
      <name val="Calibri"/>
      <family val="2"/>
      <color theme="1"/>
      <sz val="11"/>
      <scheme val="minor"/>
    </font>
    <font>
      <name val="Calibri"/>
      <b val="1"/>
      <color rgb="00FAF8F4"/>
      <sz val="11"/>
    </font>
    <font>
      <name val="Calibri"/>
      <b val="1"/>
      <color rgb="001A1510"/>
      <sz val="11"/>
    </font>
    <font>
      <name val="Calibri"/>
      <color rgb="001A1510"/>
      <sz val="10"/>
    </font>
    <font>
      <name val="Calibri"/>
      <b val="1"/>
      <color rgb="001A1510"/>
      <sz val="10"/>
    </font>
    <font>
      <name val="Calibri"/>
      <i val="1"/>
      <color rgb="008A7D72"/>
      <sz val="9"/>
    </font>
  </fonts>
  <fills count="6">
    <fill>
      <patternFill/>
    </fill>
    <fill>
      <patternFill patternType="gray125"/>
    </fill>
    <fill>
      <patternFill patternType="solid">
        <fgColor rgb="001A1510"/>
      </patternFill>
    </fill>
    <fill>
      <patternFill patternType="solid">
        <fgColor rgb="00F5F0E6"/>
      </patternFill>
    </fill>
    <fill>
      <patternFill patternType="solid">
        <fgColor rgb="00DCEEF7"/>
      </patternFill>
    </fill>
    <fill>
      <patternFill patternType="solid">
        <fgColor rgb="00E8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pivotButton="0" quotePrefix="0" xfId="0"/>
    <xf numFmtId="0" fontId="4" fillId="0" borderId="1" pivotButton="0" quotePrefix="0" xfId="0"/>
    <xf numFmtId="3" fontId="3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36" customWidth="1" min="5" max="5"/>
  </cols>
  <sheetData>
    <row r="1" ht="22" customHeight="1">
      <c r="A1" s="1" t="inlineStr">
        <is>
          <t>Line item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Notes</t>
        </is>
      </c>
    </row>
    <row r="2">
      <c r="A2" s="2" t="inlineStr">
        <is>
          <t>TOP OF FUNNEL — surface area + capture</t>
        </is>
      </c>
      <c r="B2" s="3" t="inlineStr"/>
      <c r="C2" s="3" t="inlineStr"/>
      <c r="D2" s="3" t="inlineStr"/>
      <c r="E2" s="3" t="inlineStr"/>
    </row>
    <row r="3">
      <c r="A3" s="4" t="inlineStr">
        <is>
          <t>SEO surfaces (live cards + cities)</t>
        </is>
      </c>
      <c r="B3" s="5" t="n">
        <v>47</v>
      </c>
      <c r="C3" s="5" t="n">
        <v>75</v>
      </c>
      <c r="D3" s="5" t="n">
        <v>150</v>
      </c>
      <c r="E3" s="6" t="inlineStr">
        <is>
          <t>1 surface = 1 ranked URL (intel card OR beware city)</t>
        </is>
      </c>
    </row>
    <row r="4">
      <c r="A4" s="4" t="inlineStr">
        <is>
          <t>Avg keyword volume per surface (mo)</t>
        </is>
      </c>
      <c r="B4" s="5" t="n">
        <v>1000</v>
      </c>
      <c r="C4" s="5" t="n">
        <v>1100</v>
      </c>
      <c r="D4" s="5" t="n">
        <v>1200</v>
      </c>
      <c r="E4" s="6" t="inlineStr">
        <is>
          <t>REPLACE with verified Ahrefs midpoint</t>
        </is>
      </c>
    </row>
    <row r="5">
      <c r="A5" s="4" t="inlineStr">
        <is>
          <t>Total addressable searches/mo</t>
        </is>
      </c>
      <c r="B5" s="7">
        <f>B3*B4</f>
        <v/>
      </c>
      <c r="C5" s="7">
        <f>C3*C4</f>
        <v/>
      </c>
      <c r="D5" s="7">
        <f>D3*D4</f>
        <v/>
      </c>
      <c r="E5" s="6" t="inlineStr">
        <is>
          <t>Surfaces × volume</t>
        </is>
      </c>
    </row>
    <row r="6">
      <c r="A6" s="4" t="inlineStr">
        <is>
          <t>Capture rate (% of searches won)</t>
        </is>
      </c>
      <c r="B6" s="8" t="n">
        <v>0.05</v>
      </c>
      <c r="C6" s="8" t="n">
        <v>0.1</v>
      </c>
      <c r="D6" s="8" t="n">
        <v>0.18</v>
      </c>
      <c r="E6" s="6" t="inlineStr">
        <is>
          <t>Year 1 conservative; verify after SERP rank check</t>
        </is>
      </c>
    </row>
    <row r="7">
      <c r="A7" s="4" t="inlineStr">
        <is>
          <t>Monthly organic visitors</t>
        </is>
      </c>
      <c r="B7" s="7">
        <f>B5*B6</f>
        <v/>
      </c>
      <c r="C7" s="7">
        <f>C5*C6</f>
        <v/>
      </c>
      <c r="D7" s="7">
        <f>D5*D6</f>
        <v/>
      </c>
    </row>
    <row r="8">
      <c r="A8" s="4" t="inlineStr">
        <is>
          <t>Annual visitors</t>
        </is>
      </c>
      <c r="B8" s="7">
        <f>B7*12</f>
        <v/>
      </c>
      <c r="C8" s="7">
        <f>C7*12</f>
        <v/>
      </c>
      <c r="D8" s="7">
        <f>D7*12</f>
        <v/>
      </c>
    </row>
    <row r="9">
      <c r="A9" s="2" t="inlineStr">
        <is>
          <t>EMAIL FUNNEL</t>
        </is>
      </c>
      <c r="B9" s="3" t="inlineStr"/>
      <c r="C9" s="3" t="inlineStr"/>
      <c r="D9" s="3" t="inlineStr"/>
      <c r="E9" s="3" t="inlineStr"/>
    </row>
    <row r="10">
      <c r="A10" s="4" t="inlineStr">
        <is>
          <t>Visitor → email conversion</t>
        </is>
      </c>
      <c r="B10" s="8" t="n">
        <v>0.04</v>
      </c>
      <c r="C10" s="8" t="n">
        <v>0.05</v>
      </c>
      <c r="D10" s="8" t="n">
        <v>0.06</v>
      </c>
      <c r="E10" s="6" t="inlineStr">
        <is>
          <t>Industry travel-content median 2.8%</t>
        </is>
      </c>
    </row>
    <row r="11">
      <c r="A11" s="4" t="inlineStr">
        <is>
          <t>Annual email captures</t>
        </is>
      </c>
      <c r="B11" s="7">
        <f>B8*B10</f>
        <v/>
      </c>
      <c r="C11" s="7">
        <f>C8*C10</f>
        <v/>
      </c>
      <c r="D11" s="7">
        <f>D8*D10</f>
        <v/>
      </c>
    </row>
    <row r="12">
      <c r="A12" s="2" t="inlineStr">
        <is>
          <t>PAID FUNNEL</t>
        </is>
      </c>
      <c r="B12" s="3" t="inlineStr"/>
      <c r="C12" s="3" t="inlineStr"/>
      <c r="D12" s="3" t="inlineStr"/>
      <c r="E12" s="3" t="inlineStr"/>
    </row>
    <row r="13">
      <c r="A13" s="4" t="inlineStr">
        <is>
          <t>Email → paid (60d)</t>
        </is>
      </c>
      <c r="B13" s="8" t="n">
        <v>0.03</v>
      </c>
      <c r="C13" s="8" t="n">
        <v>0.05</v>
      </c>
      <c r="D13" s="8" t="n">
        <v>0.07000000000000001</v>
      </c>
    </row>
    <row r="14">
      <c r="A14" s="4" t="inlineStr">
        <is>
          <t>Direct visitor → paid (no email)</t>
        </is>
      </c>
      <c r="B14" s="8" t="n">
        <v>0.005</v>
      </c>
      <c r="C14" s="8" t="n">
        <v>0.008</v>
      </c>
      <c r="D14" s="8" t="n">
        <v>0.012</v>
      </c>
    </row>
    <row r="15">
      <c r="A15" s="4" t="inlineStr">
        <is>
          <t>New paid members (yr)</t>
        </is>
      </c>
      <c r="B15" s="7">
        <f>ROUND(B11*B13+B8*B14,0)</f>
        <v/>
      </c>
      <c r="C15" s="7">
        <f>ROUND(C11*C13+C8*C14,0)</f>
        <v/>
      </c>
      <c r="D15" s="7">
        <f>ROUND(D11*D13+D8*D14,0)</f>
        <v/>
      </c>
    </row>
    <row r="16">
      <c r="A16" s="4" t="inlineStr">
        <is>
          <t>Cumulative paid members (90% retention)</t>
        </is>
      </c>
      <c r="B16" s="7">
        <f>B15</f>
        <v/>
      </c>
      <c r="C16" s="7">
        <f>B16*0.9+C15</f>
        <v/>
      </c>
      <c r="D16" s="7">
        <f>C16*0.9+D15</f>
        <v/>
      </c>
    </row>
    <row r="17">
      <c r="A17" s="2" t="inlineStr">
        <is>
          <t>ARPU STACK (₹)</t>
        </is>
      </c>
      <c r="B17" s="3" t="inlineStr"/>
      <c r="C17" s="3" t="inlineStr"/>
      <c r="D17" s="3" t="inlineStr"/>
      <c r="E17" s="3" t="inlineStr"/>
    </row>
    <row r="18">
      <c r="A18" s="4" t="inlineStr">
        <is>
          <t>Membership ARPU</t>
        </is>
      </c>
      <c r="B18" s="9" t="n">
        <v>999</v>
      </c>
      <c r="C18" s="9" t="n">
        <v>1099</v>
      </c>
      <c r="D18" s="9" t="n">
        <v>1199</v>
      </c>
    </row>
    <row r="19">
      <c r="A19" s="4" t="inlineStr">
        <is>
          <t>Paid affiliate (per member)</t>
        </is>
      </c>
      <c r="B19" s="9" t="n">
        <v>400</v>
      </c>
      <c r="C19" s="9" t="n">
        <v>500</v>
      </c>
      <c r="D19" s="9" t="n">
        <v>600</v>
      </c>
    </row>
    <row r="20">
      <c r="A20" s="4" t="inlineStr">
        <is>
          <t>Vault attach (yr, 25%)</t>
        </is>
      </c>
      <c r="B20" s="9" t="n">
        <v>50</v>
      </c>
      <c r="C20" s="9" t="n">
        <v>80</v>
      </c>
      <c r="D20" s="9" t="n">
        <v>100</v>
      </c>
    </row>
    <row r="21">
      <c r="A21" s="4" t="inlineStr">
        <is>
          <t>ARPU per paid member</t>
        </is>
      </c>
      <c r="B21" s="10">
        <f>B18+B19+B20</f>
        <v/>
      </c>
      <c r="C21" s="10">
        <f>C18+C19+C20</f>
        <v/>
      </c>
      <c r="D21" s="10">
        <f>D18+D19+D20</f>
        <v/>
      </c>
    </row>
    <row r="22">
      <c r="A22" s="4" t="inlineStr">
        <is>
          <t>Free-tier affiliate (per visitor/yr)</t>
        </is>
      </c>
      <c r="B22" s="9" t="n">
        <v>40</v>
      </c>
      <c r="C22" s="9" t="n">
        <v>50</v>
      </c>
      <c r="D22" s="9" t="n">
        <v>60</v>
      </c>
      <c r="E22" s="6" t="inlineStr">
        <is>
          <t>Largest revenue line — investors miss this</t>
        </is>
      </c>
    </row>
    <row r="23">
      <c r="A23" s="2" t="inlineStr">
        <is>
          <t>REVENUE (₹ lakhs)</t>
        </is>
      </c>
      <c r="B23" s="3" t="inlineStr"/>
      <c r="C23" s="3" t="inlineStr"/>
      <c r="D23" s="3" t="inlineStr"/>
      <c r="E23" s="3" t="inlineStr"/>
    </row>
    <row r="24">
      <c r="A24" s="4" t="inlineStr">
        <is>
          <t>Membership</t>
        </is>
      </c>
      <c r="B24" s="11">
        <f>B16*B18/100000</f>
        <v/>
      </c>
      <c r="C24" s="11">
        <f>C16*C18/100000</f>
        <v/>
      </c>
      <c r="D24" s="11">
        <f>D16*D18/100000</f>
        <v/>
      </c>
    </row>
    <row r="25">
      <c r="A25" s="4" t="inlineStr">
        <is>
          <t>Paid affiliate</t>
        </is>
      </c>
      <c r="B25" s="11">
        <f>B16*B19/100000</f>
        <v/>
      </c>
      <c r="C25" s="11">
        <f>C16*C19/100000</f>
        <v/>
      </c>
      <c r="D25" s="11">
        <f>D16*D19/100000</f>
        <v/>
      </c>
    </row>
    <row r="26">
      <c r="A26" s="4" t="inlineStr">
        <is>
          <t>Vault</t>
        </is>
      </c>
      <c r="B26" s="11">
        <f>B16*B20/100000</f>
        <v/>
      </c>
      <c r="C26" s="11">
        <f>C16*C20/100000</f>
        <v/>
      </c>
      <c r="D26" s="11">
        <f>D16*D20/100000</f>
        <v/>
      </c>
    </row>
    <row r="27">
      <c r="A27" s="4" t="inlineStr">
        <is>
          <t>Free-tier affiliate</t>
        </is>
      </c>
      <c r="B27" s="11">
        <f>B8*B22/100000</f>
        <v/>
      </c>
      <c r="C27" s="11">
        <f>C8*C22/100000</f>
        <v/>
      </c>
      <c r="D27" s="11">
        <f>D8*D22/100000</f>
        <v/>
      </c>
    </row>
    <row r="28">
      <c r="A28" s="4" t="inlineStr">
        <is>
          <t>TOTAL REVENUE</t>
        </is>
      </c>
      <c r="B28" s="11">
        <f>SUM(B24:B27)</f>
        <v/>
      </c>
      <c r="C28" s="11">
        <f>SUM(C24:C27)</f>
        <v/>
      </c>
      <c r="D28" s="11">
        <f>SUM(D24:D27)</f>
        <v/>
      </c>
    </row>
    <row r="29">
      <c r="A29" s="2" t="inlineStr">
        <is>
          <t>COSTS (₹ lakhs)</t>
        </is>
      </c>
      <c r="B29" s="3" t="inlineStr"/>
      <c r="C29" s="3" t="inlineStr"/>
      <c r="D29" s="3" t="inlineStr"/>
      <c r="E29" s="3" t="inlineStr"/>
    </row>
    <row r="30">
      <c r="A30" s="4" t="inlineStr">
        <is>
          <t>Contributor payouts</t>
        </is>
      </c>
      <c r="B30" s="12" t="n">
        <v>1</v>
      </c>
      <c r="C30" s="12" t="n">
        <v>3</v>
      </c>
      <c r="D30" s="12" t="n">
        <v>6</v>
      </c>
    </row>
    <row r="31">
      <c r="A31" s="4" t="inlineStr">
        <is>
          <t>Hosting + tooling</t>
        </is>
      </c>
      <c r="B31" s="12" t="n">
        <v>0.5</v>
      </c>
      <c r="C31" s="12" t="n">
        <v>1.5</v>
      </c>
      <c r="D31" s="12" t="n">
        <v>4</v>
      </c>
    </row>
    <row r="32">
      <c r="A32" s="4" t="inlineStr">
        <is>
          <t>Verification (KYC)</t>
        </is>
      </c>
      <c r="B32" s="12" t="n">
        <v>0.3</v>
      </c>
      <c r="C32" s="12" t="n">
        <v>1.8</v>
      </c>
      <c r="D32" s="12" t="n">
        <v>9</v>
      </c>
    </row>
    <row r="33">
      <c r="A33" s="4" t="inlineStr">
        <is>
          <t>Team payroll</t>
        </is>
      </c>
      <c r="B33" s="12" t="n">
        <v>18</v>
      </c>
      <c r="C33" s="12" t="n">
        <v>36</v>
      </c>
      <c r="D33" s="12" t="n">
        <v>72</v>
      </c>
    </row>
    <row r="34">
      <c r="A34" s="4" t="inlineStr">
        <is>
          <t>TOTAL COSTS</t>
        </is>
      </c>
      <c r="B34" s="11">
        <f>SUM(B30:B33)</f>
        <v/>
      </c>
      <c r="C34" s="11">
        <f>SUM(C30:C33)</f>
        <v/>
      </c>
      <c r="D34" s="11">
        <f>SUM(D30:D33)</f>
        <v/>
      </c>
    </row>
    <row r="35">
      <c r="A35" s="4" t="inlineStr">
        <is>
          <t>NET (Revenue - Costs)</t>
        </is>
      </c>
      <c r="B35" s="11">
        <f>B28-B34</f>
        <v/>
      </c>
      <c r="C35" s="11">
        <f>C28-C34</f>
        <v/>
      </c>
      <c r="D35" s="11">
        <f>D28-D34</f>
        <v/>
      </c>
    </row>
    <row r="36">
      <c r="A36" s="2" t="inlineStr">
        <is>
          <t>KEY RATIOS</t>
        </is>
      </c>
      <c r="B36" s="3" t="inlineStr"/>
      <c r="C36" s="3" t="inlineStr"/>
      <c r="D36" s="3" t="inlineStr"/>
      <c r="E36" s="3" t="inlineStr"/>
    </row>
    <row r="37">
      <c r="A37" s="4" t="inlineStr">
        <is>
          <t>Visitor → paid blended</t>
        </is>
      </c>
      <c r="B37" s="13">
        <f>B15/B8</f>
        <v/>
      </c>
      <c r="C37" s="13">
        <f>C15/C8</f>
        <v/>
      </c>
      <c r="D37" s="13">
        <f>D15/D8</f>
        <v/>
      </c>
    </row>
    <row r="38">
      <c r="A38" s="4" t="inlineStr">
        <is>
          <t>ARR (₹ lakhs)</t>
        </is>
      </c>
      <c r="B38" s="11">
        <f>B28</f>
        <v/>
      </c>
      <c r="C38" s="11">
        <f>C28</f>
        <v/>
      </c>
      <c r="D38" s="11">
        <f>D28</f>
        <v/>
      </c>
    </row>
    <row r="40">
      <c r="A40" s="2" t="inlineStr">
        <is>
          <t>LEGEND</t>
        </is>
      </c>
      <c r="B40" s="3" t="inlineStr"/>
      <c r="C40" s="3" t="inlineStr"/>
      <c r="D40" s="3" t="inlineStr"/>
      <c r="E40" s="3" t="inlineStr"/>
    </row>
    <row r="41">
      <c r="A41" s="14" t="inlineStr">
        <is>
          <t>Teal = editable assumption</t>
        </is>
      </c>
    </row>
    <row r="42">
      <c r="A42" s="15" t="inlineStr">
        <is>
          <t>Green = computed (don't edit)</t>
        </is>
      </c>
    </row>
    <row r="43">
      <c r="A43" s="6" t="inlineStr">
        <is>
          <t>Open in Sheets: File → Import → Upload → Replace spreadsheet. Formulas convert automatically.</t>
        </is>
      </c>
    </row>
    <row r="44">
      <c r="A44" s="6" t="inlineStr">
        <is>
          <t>Build with: python3 scripts/build-funnel-xlsx.py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" t="inlineStr">
        <is>
          <t>Year-1 sensitivity: capture × email→paid → ARR (₹ lakhs)</t>
        </is>
      </c>
      <c r="B1" s="16" t="inlineStr"/>
      <c r="C1" s="16" t="inlineStr"/>
      <c r="D1" s="16" t="inlineStr"/>
    </row>
    <row r="3">
      <c r="A3" s="4" t="inlineStr">
        <is>
          <t>Total addressable searches/yr</t>
        </is>
      </c>
      <c r="B3" s="7">
        <f>('Funnel Model'!B5)*12</f>
        <v/>
      </c>
    </row>
    <row r="4">
      <c r="A4" s="4" t="inlineStr">
        <is>
          <t>ARPU per paid (yr 1)</t>
        </is>
      </c>
      <c r="B4" s="10">
        <f>'Funnel Model'!B21</f>
        <v/>
      </c>
    </row>
    <row r="5">
      <c r="A5" s="4" t="inlineStr">
        <is>
          <t>Free-tier affiliate per visitor</t>
        </is>
      </c>
      <c r="B5" s="10">
        <f>'Funnel Model'!B22</f>
        <v/>
      </c>
    </row>
    <row r="7">
      <c r="A7" s="17" t="inlineStr">
        <is>
          <t>Capture rate ↓ / Email→paid →</t>
        </is>
      </c>
      <c r="B7" s="17" t="inlineStr">
        <is>
          <t>2%</t>
        </is>
      </c>
      <c r="C7" s="17" t="inlineStr">
        <is>
          <t>4%</t>
        </is>
      </c>
      <c r="D7" s="17" t="inlineStr">
        <is>
          <t>6%</t>
        </is>
      </c>
    </row>
    <row r="8">
      <c r="A8" s="18" t="inlineStr">
        <is>
          <t>2% (low)</t>
        </is>
      </c>
      <c r="B8" s="11">
        <f>ROUND(($B$3*0.02*0.04*0.02*$B$4 + $B$3*0.02*$B$5)/100000,1)</f>
        <v/>
      </c>
      <c r="C8" s="11">
        <f>ROUND(($B$3*0.02*0.04*0.04*$B$4 + $B$3*0.02*$B$5)/100000,1)</f>
        <v/>
      </c>
      <c r="D8" s="11">
        <f>ROUND(($B$3*0.02*0.04*0.06*$B$4 + $B$3*0.02*$B$5)/100000,1)</f>
        <v/>
      </c>
    </row>
    <row r="9">
      <c r="A9" s="18" t="inlineStr">
        <is>
          <t>5% (base)</t>
        </is>
      </c>
      <c r="B9" s="11">
        <f>ROUND(($B$3*0.05*0.04*0.02*$B$4 + $B$3*0.05*$B$5)/100000,1)</f>
        <v/>
      </c>
      <c r="C9" s="11">
        <f>ROUND(($B$3*0.05*0.04*0.04*$B$4 + $B$3*0.05*$B$5)/100000,1)</f>
        <v/>
      </c>
      <c r="D9" s="11">
        <f>ROUND(($B$3*0.05*0.04*0.06*$B$4 + $B$3*0.05*$B$5)/100000,1)</f>
        <v/>
      </c>
    </row>
    <row r="10">
      <c r="A10" s="18" t="inlineStr">
        <is>
          <t>10% (high)</t>
        </is>
      </c>
      <c r="B10" s="11">
        <f>ROUND(($B$3*0.1*0.04*0.02*$B$4 + $B$3*0.1*$B$5)/100000,1)</f>
        <v/>
      </c>
      <c r="C10" s="11">
        <f>ROUND(($B$3*0.1*0.04*0.04*$B$4 + $B$3*0.1*$B$5)/100000,1)</f>
        <v/>
      </c>
      <c r="D10" s="11">
        <f>ROUND(($B$3*0.1*0.04*0.06*$B$4 + $B$3*0.1*$B$5)/100000,1)</f>
        <v/>
      </c>
    </row>
    <row r="12">
      <c r="A12" s="6" t="inlineStr">
        <is>
          <t>Highlighted base case: 5% capture × 4% conv = year-1 total revenue including free-tier affiliate</t>
        </is>
      </c>
    </row>
    <row r="13">
      <c r="A13" s="6" t="inlineStr">
        <is>
          <t>Even worst case (2%×2%) leaves a real business covered by the round.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2026-05-07T16:38:22Z</dcterms:created>
  <dcterms:modified xsi:type="dcterms:W3CDTF">2026-05-07T16:38:22Z</dcterms:modified>
</cp:coreProperties>
</file>